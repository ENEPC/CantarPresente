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ESGOS" sheetId="1" r:id="rId5"/>
    <sheet state="visible" name="PROBABILIDAD" sheetId="2" r:id="rId6"/>
    <sheet state="visible" name="IMPACTO" sheetId="3" r:id="rId7"/>
    <sheet state="visible" name="EXPOSICIÓN" sheetId="4" r:id="rId8"/>
    <sheet state="visible" name="MATRIZ P-I" sheetId="5" r:id="rId9"/>
  </sheets>
  <definedNames/>
  <calcPr/>
</workbook>
</file>

<file path=xl/sharedStrings.xml><?xml version="1.0" encoding="utf-8"?>
<sst xmlns="http://schemas.openxmlformats.org/spreadsheetml/2006/main" count="408" uniqueCount="252">
  <si>
    <t>CANTAR PRESENTE | ANÁLISIS DE RIESGOS</t>
  </si>
  <si>
    <t>ID</t>
  </si>
  <si>
    <t>Fecha</t>
  </si>
  <si>
    <t>Grupo de riesgo</t>
  </si>
  <si>
    <t>Categoría</t>
  </si>
  <si>
    <t>Descripción del riesgo</t>
  </si>
  <si>
    <t>Estado</t>
  </si>
  <si>
    <t>Probabilidad</t>
  </si>
  <si>
    <t>Impacto</t>
  </si>
  <si>
    <t>Exposición</t>
  </si>
  <si>
    <t>Respuesta</t>
  </si>
  <si>
    <t>Disparador</t>
  </si>
  <si>
    <t>Responsable</t>
  </si>
  <si>
    <t>Acción de respuesta</t>
  </si>
  <si>
    <t>Contingencia</t>
  </si>
  <si>
    <t>RSK.01</t>
  </si>
  <si>
    <t>Riesgos Cliente</t>
  </si>
  <si>
    <t>Organizacionales</t>
  </si>
  <si>
    <t>Dado que los responsables de Sembrar Cantando trabajan en gran parte de forma voluntaria, podrían demorarse las entrevistas y validaciones, ocasionando atrasos en el relevamiento y el desarrollo.</t>
  </si>
  <si>
    <t>Abierto</t>
  </si>
  <si>
    <t>Mitigar</t>
  </si>
  <si>
    <t>Una validación no se responde dentro de 5 días hábiles o se cancela una reunión clave.</t>
  </si>
  <si>
    <t>Julieta Salvado / Candelaria Arbe</t>
  </si>
  <si>
    <t>Acordar un calendario de validaciones, enviar material con anticipación, registrar decisiones y realizar recordatorios antes de cada vencimiento.</t>
  </si>
  <si>
    <t>Escalar la demora al referente de la ONG y replanificar las tareas afectadas utilizando la última versión aprobada hasta recibir respuesta.</t>
  </si>
  <si>
    <t>RSK.02</t>
  </si>
  <si>
    <t>Riesgos asociados a los Requisitos del Producto y/o Entregables del Proyecto</t>
  </si>
  <si>
    <t>De Gestión</t>
  </si>
  <si>
    <t>Dado que pueden solicitarse funcionalidades nuevas después de aprobar el alcance, podría producirse una ampliación no controlada que afecte el cronograma, los recursos y la calidad.</t>
  </si>
  <si>
    <t>Evitar</t>
  </si>
  <si>
    <t>Se recibe una solicitud que no figura en el alcance ni en la EDT aprobada.</t>
  </si>
  <si>
    <t>Candelaria Arbe</t>
  </si>
  <si>
    <t>Aplicar el procedimiento formal de control de cambios y no iniciar ningún cambio sin evaluar y aprobar su impacto.</t>
  </si>
  <si>
    <t>Si el cambio se aprueba, actualizar las líneas base; si no es imprescindible, registrarlo para una versión futura.</t>
  </si>
  <si>
    <t>RSK.03</t>
  </si>
  <si>
    <t>Objetivos</t>
  </si>
  <si>
    <t>Dado que el padrón actual puede contener datos incompletos o desactualizados, podrían cargarse participantes incorrectamente y generarse reportes poco confiables.</t>
  </si>
  <si>
    <t>Más del 10% de los registros presentan campos obligatorios faltantes, duplicados o inconsistencias.</t>
  </si>
  <si>
    <t>Julieta Salvado / Tadeo Jablonski</t>
  </si>
  <si>
    <t>Definir campos obligatorios, reglas de validación y una plantilla de carga revisada por un referente de la ONG.</t>
  </si>
  <si>
    <t>Realizar el piloto con el subconjunto validado y dejar la corrección de los datos restantes a cargo del personal autorizado de la ONG.</t>
  </si>
  <si>
    <t>RSK.04</t>
  </si>
  <si>
    <t>Riesgos asociados a los recursos necesarios para la realización del proyecto</t>
  </si>
  <si>
    <t>Técnicos</t>
  </si>
  <si>
    <t>Dado que los usuarios utilizarán celulares personales con distintos modelos y navegadores, la PWA podría no funcionar correctamente en algunos dispositivos y dificultar la toma de asistencia.</t>
  </si>
  <si>
    <t>Una función crítica falla en alguno de los dispositivos o navegadores acordados para el piloto.</t>
  </si>
  <si>
    <t>Nicolás Pérez Colman / Candela Fernandez</t>
  </si>
  <si>
    <t>Definir una matriz de compatibilidad y ejecutar pruebas tempranas en los dispositivos acordados, priorizando una interfaz liviana y responsiva.</t>
  </si>
  <si>
    <t>Limitar temporalmente el piloto a los dispositivos compatibles disponibles en la ONG y corregir la incompatibilidad antes de ampliar el uso.</t>
  </si>
  <si>
    <t>RSK.05</t>
  </si>
  <si>
    <t>Riesgos asociados al trabajo específico a realizar</t>
  </si>
  <si>
    <t>Dado que la aplicación almacenará asistencias sin conexión y las sincronizará después, podrían perderse, duplicarse o entrar en conflicto registros durante la sincronización.</t>
  </si>
  <si>
    <t>Se detectan registros duplicados o faltantes, conflictos de versión o una cola que falla en dos intentos consecutivos.</t>
  </si>
  <si>
    <t>Nicolás Pérez Colman / Tadeo Jablonski / Candela Fernandez</t>
  </si>
  <si>
    <t>Usar identificadores únicos, cola de reintentos, validaciones de integridad y pruebas específicas en escenarios offline y de reconexión.</t>
  </si>
  <si>
    <t>Pausar la sincronización afectada, conservar los datos locales, restaurar el último respaldo válido y reprocesar los registros controladamente.</t>
  </si>
  <si>
    <t>RSK.06</t>
  </si>
  <si>
    <t>Dado que el sistema manejará datos personales de menores, un acceso no autorizado o una credencial expuesta podría comprometer la confidencialidad y la confianza de la ONG.</t>
  </si>
  <si>
    <t>Se detectan intentos de acceso indebido, una credencial expuesta o actividad de usuario no reconocida.</t>
  </si>
  <si>
    <t>Santiago Fila / Tadeo Jablonski</t>
  </si>
  <si>
    <t>Aplicar autenticación, permisos por rol, mínimo privilegio, HTTPS y datos ficticios o anonimizados durante el desarrollo y las pruebas.</t>
  </si>
  <si>
    <t>Revocar accesos, rotar credenciales, aislar el componente afectado, revisar registros y comunicar el incidente al referente de la ONG.</t>
  </si>
  <si>
    <t>RSK.07</t>
  </si>
  <si>
    <t>Riesgos Proveedor / Subcontratista</t>
  </si>
  <si>
    <t>Externos</t>
  </si>
  <si>
    <t>Dado que el proyecto utilizará servicios gratuitos de nube, una caída, cambio de condiciones o límite de consumo podría afectar el despliegue, la sincronización o la disponibilidad.</t>
  </si>
  <si>
    <t>Aceptar</t>
  </si>
  <si>
    <t>El consumo supera el 80% del límite gratuito, el proveedor anuncia cambios o el servicio permanece caído más de 2 horas.</t>
  </si>
  <si>
    <t>Nicolás Pérez Colman / Santiago Fila</t>
  </si>
  <si>
    <t>Monitorear consumo y disponibilidad, optimizar recursos y mantener copias exportables de la configuración, el código y la base de datos.</t>
  </si>
  <si>
    <t>Restaurar el servicio en una alternativa gratuita compatible o trabajar temporalmente con la información local hasta recuperar la sincronización.</t>
  </si>
  <si>
    <t>RSK.08</t>
  </si>
  <si>
    <t>Dado que algunos directores y voluntarios pueden tener poca experiencia digital o resistencia al cambio, la aplicación podría utilizarse de forma incorrecta o quedar sin adopción.</t>
  </si>
  <si>
    <t>Menos del 80% de los usuarios previstos participa de la capacitación o se repiten errores críticos durante el piloto.</t>
  </si>
  <si>
    <t>Julieta Salvado / Candela Fernandez</t>
  </si>
  <si>
    <t>Involucrar usuarios en las validaciones, simplificar los flujos, realizar capacitación práctica y entregar un manual breve con ejemplos.</t>
  </si>
  <si>
    <t>Realizar una capacitación de refuerzo y acompañar la carga durante el soporte inicial hasta que el referente interno pueda asistir a los usuarios.</t>
  </si>
  <si>
    <t>RSK.09</t>
  </si>
  <si>
    <t>Dado que el equipo combina el proyecto con otras materias y obligaciones académicas, podrían producirse indisponibilidades o demoras en tareas críticas.</t>
  </si>
  <si>
    <t>Una tarea crítica se demora más de 3 días o su responsable informa que no podrá cumplir la fecha comprometida.</t>
  </si>
  <si>
    <t>Asignar responsables alternativos, revisar el avance semanalmente, reservar margen para tareas críticas y mantener la documentación actualizada.</t>
  </si>
  <si>
    <t>Reasignar la tarea, priorizar las funcionalidades esenciales del alcance y reprogramar actividades no críticas sin afectar el piloto.</t>
  </si>
  <si>
    <t>RSK.10</t>
  </si>
  <si>
    <t>Riesgos Asociados al Contexto del Proyecto</t>
  </si>
  <si>
    <t>Dado que la prueba piloto depende de una sede, usuarios y dispositivos disponibles, una cancelación o falta de condiciones podría impedir ejecutarla en la fecha prevista.</t>
  </si>
  <si>
    <t>La sede o los usuarios no confirman disponibilidad 72 horas antes, o no se cuenta con al menos un dispositivo compatible.</t>
  </si>
  <si>
    <t>Candelaria Arbe / Referente de la ONG</t>
  </si>
  <si>
    <t>Confirmar con anticipación sede, horario, participantes, dispositivos y condiciones del piloto mediante una lista de verificación.</t>
  </si>
  <si>
    <t>Trasladar la prueba a otra sede acordada o reprogramarla dentro del margen previsto en el cronograma.</t>
  </si>
  <si>
    <t>RSK.11</t>
  </si>
  <si>
    <t>Riesgos asociados al Proceso y Métodos de Gestión del Proyecto</t>
  </si>
  <si>
    <t>Dado que el tiempo y la variedad de dispositivos de prueba son limitados, podrían detectarse errores críticos recién durante el piloto o la puesta en funcionamiento.</t>
  </si>
  <si>
    <t>Quedan casos críticos sin ejecutar, aparecen defectos bloqueantes o la cobertura acordada no se completa antes del piloto.</t>
  </si>
  <si>
    <t>Candela Fernandez</t>
  </si>
  <si>
    <t>Preparar casos de prueba desde cada incremento, priorizar funciones críticas y ejecutar pruebas funcionales, offline, sincronización, seguridad y usabilidad.</t>
  </si>
  <si>
    <t>Postergar la liberación de la función afectada, corregir el defecto y repetir las pruebas críticas antes de habilitarla a los usuarios.</t>
  </si>
  <si>
    <t>RSK.12</t>
  </si>
  <si>
    <t>Dado que el equipo externo finalizará su participación, una transferencia incompleta de accesos, documentación y conocimiento podría dejar a la ONG dependiente del equipo del proyecto.</t>
  </si>
  <si>
    <t>Diez días antes del cierre faltan manuales, accesos transferidos, respaldos o un referente interno capacitado.</t>
  </si>
  <si>
    <t>Candelaria Arbe / Nicolás Pérez Colman</t>
  </si>
  <si>
    <t>Usar una lista de cierre con manuales, repositorio, credenciales, respaldos, capacitación y aceptación formal del referente de la ONG.</t>
  </si>
  <si>
    <t>Completar los elementos pendientes durante el período de soporte inicial de dos meses y efectuar una segunda transferencia documentada.</t>
  </si>
  <si>
    <t>RSK.13</t>
  </si>
  <si>
    <t>Dado que algunas sedes pueden tener conectividad inestable, la sincronización podría demorarse o no completarse, ocasionando información desactualizada en los reportes.</t>
  </si>
  <si>
    <t>La aplicación permanece sin poder sincronizar durante más de 24 horas o acumula registros pendientes.</t>
  </si>
  <si>
    <t>Monitorear la cola de sincronización, informar el estado al usuario y probar la recuperación automática después de cortes prolongados.</t>
  </si>
  <si>
    <t>Exportar o respaldar los registros locales y realizar la sincronización desde una conexión estable supervisada.</t>
  </si>
  <si>
    <t>RSK.14</t>
  </si>
  <si>
    <t>Dado que una falla de almacenamiento, configuración o respaldo podría afectar la base de datos, podrían perderse registros históricos de participantes y asistencias.</t>
  </si>
  <si>
    <t>Un respaldo automático falla, no puede restaurarse o aparecen registros dañados.</t>
  </si>
  <si>
    <t>Tadeo Jablonski / Santiago Fila</t>
  </si>
  <si>
    <t>Definir respaldos periódicos, control de integridad y pruebas de restauración con datos no productivos.</t>
  </si>
  <si>
    <t>Detener las escrituras, recuperar el último respaldo válido y reconstruir los registros posteriores desde las copias locales disponibles.</t>
  </si>
  <si>
    <t>RSK.15</t>
  </si>
  <si>
    <t>Dado que la ONG puede interpretar de manera diferente los indicadores de impacto, podrían construirse reportes que no respondan a sus necesidades reales.</t>
  </si>
  <si>
    <t>Durante una validación se cuestiona la definición, fuente o cálculo de un indicador ya desarrollado.</t>
  </si>
  <si>
    <t>Documentar cada KPI con definición, fórmula, fuente y frecuencia, y validarlo con la ONG antes de desarrollar el reporte.</t>
  </si>
  <si>
    <t>Ajustar los indicadores prioritarios y entregar temporalmente una exportación de datos mientras se corrige el reporte.</t>
  </si>
  <si>
    <t>RSK.16</t>
  </si>
  <si>
    <t>Dado que el rendimiento puede no probarse con suficientes usuarios y registros, la aplicación podría responder lentamente durante la carga de asistencias o la generación de reportes.</t>
  </si>
  <si>
    <t>Una operación crítica supera los 3 segundos o falla al trabajar con el volumen estimado del proyecto.</t>
  </si>
  <si>
    <t>Realizar pruebas con el volumen esperado, optimizar consultas y paginar listados o reportes extensos.</t>
  </si>
  <si>
    <t>Reducir temporalmente el período o volumen consultado y priorizar la optimización de la operación afectada.</t>
  </si>
  <si>
    <t>RSK.17</t>
  </si>
  <si>
    <t>Seguridad</t>
  </si>
  <si>
    <t>Dado que los usuarios pueden registrar asistencia desde celulares personales, la pérdida o robo de un dispositivo con datos locales podría exponer información o impedir sincronizar registros.</t>
  </si>
  <si>
    <t>Se informa la pérdida de un dispositivo con sesión iniciada o registros todavía no sincronizados.</t>
  </si>
  <si>
    <t>Santiago Fila / Nicolás Pérez Colman</t>
  </si>
  <si>
    <t>Minimizar los datos almacenados localmente, proteger la sesión, permitir cierre remoto y evitar mostrar información sensible sin necesidad.</t>
  </si>
  <si>
    <t>Revocar la sesión, bloquear el acceso asociado y reconstruir los registros pendientes con el responsable de la sede.</t>
  </si>
  <si>
    <t>RSK.18</t>
  </si>
  <si>
    <t>Legales</t>
  </si>
  <si>
    <t>Dado que el sistema procesará datos personales de menores, la falta de autorizaciones o criterios claros de conservación podría impedir utilizar ciertos datos y generar incumplimientos.</t>
  </si>
  <si>
    <t>La ONG no puede acreditar autorización para un dato solicitado o no define quién puede acceder y por cuánto tiempo conservarlo.</t>
  </si>
  <si>
    <t>Validar con la ONG los datos estrictamente necesarios, las autorizaciones aplicables, los perfiles de acceso y el criterio de conservación antes de cargar información real.</t>
  </si>
  <si>
    <t>Suspender la carga del dato cuestionado, anonimizarlo cuando sea posible y continuar solo con la información autorizada.</t>
  </si>
  <si>
    <t>RSK.19</t>
  </si>
  <si>
    <t>Requisitos</t>
  </si>
  <si>
    <t>Dado que varios procesos actuales son informales y no están documentados, podrían omitirse reglas importantes de inscripción, asistencia o seguimiento.</t>
  </si>
  <si>
    <t>En una demostración aparece una regla operativa que no estaba relevada ni aprobada.</t>
  </si>
  <si>
    <t>Julieta Salvado</t>
  </si>
  <si>
    <t>Observar el proceso real, documentar casos normales y excepciones, y validar cada flujo con quienes lo ejecutan.</t>
  </si>
  <si>
    <t>Registrar la regla como cambio, evaluar su prioridad y adaptar primero el flujo crítico afectado.</t>
  </si>
  <si>
    <t>RSK.20</t>
  </si>
  <si>
    <t>CANTAR PRESENTE | EXPOSICIÓN</t>
  </si>
  <si>
    <t>CANTAR PRESENTE | PROBABILIDAD</t>
  </si>
  <si>
    <t>Dado que los cinco coros y las distintas sedes pueden trabajar de manera diferente, podrían surgir requisitos contradictorios y decisiones demoradas.</t>
  </si>
  <si>
    <t>CANTAR PRESENTE | IMPACTO</t>
  </si>
  <si>
    <t>Dos referentes solicitan comportamientos incompatibles para una misma función.</t>
  </si>
  <si>
    <t>Definir un referente decisor y registrar acuerdos comunes, variantes por sede y criterios de prioridad.</t>
  </si>
  <si>
    <t>Elevar la diferencia al referente general y aplicar temporalmente el flujo aprobado para el piloto.</t>
  </si>
  <si>
    <t>RSK.21</t>
  </si>
  <si>
    <t>Calidad</t>
  </si>
  <si>
    <t>Dado que los criterios de aceptación podrían quedar ambiguos, el equipo y la ONG podrían interpretar de manera distinta cuándo un entregable está terminado.</t>
  </si>
  <si>
    <t>Cliente / ONG</t>
  </si>
  <si>
    <t>Un entregable presentado como terminado es rechazado por una condición que no estaba escrita.</t>
  </si>
  <si>
    <t>Candelaria Arbe / Julieta Salvado</t>
  </si>
  <si>
    <t>Definir criterios verificables para cada entregable y obtener su aprobación antes de comenzar el desarrollo correspondiente.</t>
  </si>
  <si>
    <t>Acordar el criterio faltante, estimar el retrabajo y actualizar el plan mediante control de cambios.</t>
  </si>
  <si>
    <t>RSK.22</t>
  </si>
  <si>
    <t>Usabilidad</t>
  </si>
  <si>
    <t>Dado que la interfaz puede validarse tarde con usuarios reales, podrían descubrirse dificultades de uso cuando ya existen varios módulos desarrollados.</t>
  </si>
  <si>
    <t>Los usuarios no completan una tarea crítica sin ayuda o necesitan pasos no previstos.</t>
  </si>
  <si>
    <t>Validar prototipos y recorridos tempranos con directores o voluntarios representativos de las sedes.</t>
  </si>
  <si>
    <t>Simplificar el flujo crítico, priorizar las correcciones de usabilidad y diferir mejoras estéticas secundarias.</t>
  </si>
  <si>
    <t>RSK.23</t>
  </si>
  <si>
    <t>Datos</t>
  </si>
  <si>
    <t>Dado que un usuario autorizado podría modificar o eliminar información por error, podrían perderse registros válidos o alterarse reportes históricos.</t>
  </si>
  <si>
    <t>Se elimina o modifica un registro y el usuario solicita recuperarlo o desconoce quién realizó el cambio.</t>
  </si>
  <si>
    <t>Tadeo Jablonski / Nicolás Pérez Colman</t>
  </si>
  <si>
    <t>Aplicar confirmaciones, baja lógica, historial de cambios y permisos limitados para acciones sensibles.</t>
  </si>
  <si>
    <t>Restaurar el dato desde el historial o respaldo y revisar los permisos del perfil involucrado.</t>
  </si>
  <si>
    <t>RSK.24</t>
  </si>
  <si>
    <t>Dado que los perfiles y permisos pueden configurarse incorrectamente, un usuario podría visualizar o modificar información que no corresponde a su función.</t>
  </si>
  <si>
    <t>Trabajo técnico</t>
  </si>
  <si>
    <t>Una prueba detecta que un rol accede a una pantalla, sede o acción no autorizada.</t>
  </si>
  <si>
    <t>Proveedor cloud</t>
  </si>
  <si>
    <t>Santiago Fila / Candela Fernandez</t>
  </si>
  <si>
    <t>Definir una matriz de permisos por rol y probar accesos permitidos y denegados antes de cada liberación.</t>
  </si>
  <si>
    <t>Revocar el acceso afectado, corregir la configuración y revisar las acciones realizadas durante la exposición.</t>
  </si>
  <si>
    <t>RSK.25</t>
  </si>
  <si>
    <t>Recursos</t>
  </si>
  <si>
    <t>Dado que no exista un mecanismo confiable de recuperación de acceso, usuarios legítimos podrían quedar bloqueados durante una actividad.</t>
  </si>
  <si>
    <t>Contexto</t>
  </si>
  <si>
    <t>Un referente pierde su contraseña o bloquea la cuenta antes de registrar asistencia.</t>
  </si>
  <si>
    <t>Implementar recuperación segura y definir un procedimiento de soporte con verificación de identidad.</t>
  </si>
  <si>
    <t>Habilitar una cuenta alternativa autorizada y restablecer el acceso mediante el responsable designado.</t>
  </si>
  <si>
    <t>RSK.26</t>
  </si>
  <si>
    <t>Gestión / procesos</t>
  </si>
  <si>
    <t>Dado que el navegador o el usuario pueden borrar el almacenamiento local antes de sincronizar, podrían perderse asistencias registradas offline.</t>
  </si>
  <si>
    <t>Se detecta limpieza de caché, reinstalación de la PWA o falta de registros pendientes después de un cierre inesperado.</t>
  </si>
  <si>
    <t>Advertir cuando existan datos pendientes, minimizar su permanencia local y probar cierres, limpieza y reinstalación.</t>
  </si>
  <si>
    <t>Reconstruir la asistencia con la planilla de apoyo o confirmación del responsable de la sede.</t>
  </si>
  <si>
    <t>RSK.27</t>
  </si>
  <si>
    <t>Infraestructura</t>
  </si>
  <si>
    <t>Dado que una variable, certificado, dominio o permiso del entorno puede configurarse mal, el despliegue podría fallar o quedar parcialmente operativo.</t>
  </si>
  <si>
    <t>El despliegue falla, el certificado vence o una función opera en pruebas pero no en producción.</t>
  </si>
  <si>
    <t>Usar listas de verificación, variables separadas por entorno, monitoreo de certificados y una prueba posterior al despliegue.</t>
  </si>
  <si>
    <t>Revertir a la última versión estable y corregir la configuración fuera de producción.</t>
  </si>
  <si>
    <t>RSK.28</t>
  </si>
  <si>
    <t>Dado que librerías o servicios externos pueden cambiar de versión o dejar de mantenerse, alguna función de la PWA podría romperse o volverse vulnerable.</t>
  </si>
  <si>
    <t>Una actualización presenta incompatibilidades, alertas de seguridad o elimina una función utilizada.</t>
  </si>
  <si>
    <t>Fijar versiones, revisar dependencias y probar actualizaciones en un entorno separado antes de incorporarlas.</t>
  </si>
  <si>
    <t>Volver a la versión estable o reemplazar la dependencia por una alternativa compatible.</t>
  </si>
  <si>
    <t>RSK.29</t>
  </si>
  <si>
    <t>Configuración</t>
  </si>
  <si>
    <t>Dado que varias personas pueden modificar el código simultáneamente, podrían generarse conflictos, pérdida de cambios o integraciones inestables.</t>
  </si>
  <si>
    <t>Aparecen conflictos frecuentes, cambios sin revisar o una rama no puede integrarse.</t>
  </si>
  <si>
    <t>Nicolás Pérez Colman / Candelaria Arbe</t>
  </si>
  <si>
    <t>Definir ramas, revisiones, commits pequeños y responsables por módulo, manteniendo el repositorio actualizado.</t>
  </si>
  <si>
    <t>Recuperar la versión estable, resolver conflictos con los autores y repetir las pruebas del módulo integrado.</t>
  </si>
  <si>
    <t>RSK.30</t>
  </si>
  <si>
    <t>Dado que los módulos pueden funcionar por separado pero fallar al conectarse, podrían aparecer errores entre registro, asistencia, sincronización y reportes.</t>
  </si>
  <si>
    <t>Una integración produce datos inconsistentes, errores de comunicación o resultados diferentes entre módulos.</t>
  </si>
  <si>
    <t>Integrar de forma incremental y automatizar pruebas de los recorridos completos más críticos.</t>
  </si>
  <si>
    <t>Aislar el módulo defectuoso, volver a la integración estable y corregir el contrato de datos o servicio.</t>
  </si>
  <si>
    <t>RSK.31</t>
  </si>
  <si>
    <t>Dado que desarrollo, pruebas y producción pueden tener configuraciones distintas, un comportamiento validado podría fallar al publicarse.</t>
  </si>
  <si>
    <t>Una función aprobada falla únicamente en el entorno de producción.</t>
  </si>
  <si>
    <t>Alinear versiones, variables y datos de prueba, y ejecutar una validación de humo en cada despliegue.</t>
  </si>
  <si>
    <t>Revertir la publicación y reproducir el problema en un entorno equivalente antes de corregirlo.</t>
  </si>
  <si>
    <t>RSK.32</t>
  </si>
  <si>
    <t>Dado que los archivos actuales pueden tener formatos, nombres o valores inconsistentes, la migración inicial podría rechazar o ubicar mal registros.</t>
  </si>
  <si>
    <t>La carga de prueba presenta más del 5% de filas rechazadas o asignaciones incorrectas.</t>
  </si>
  <si>
    <t>Tadeo Jablonski / Julieta Salvado</t>
  </si>
  <si>
    <t>Definir una plantilla, reglas de transformación, validaciones y una carga piloto revisada por la ONG.</t>
  </si>
  <si>
    <t>Importar solo los registros válidos, entregar un listado de errores y completar la carga después de corregir el origen.</t>
  </si>
  <si>
    <t>RSK.33</t>
  </si>
  <si>
    <t>Dado que una misma persona puede figurar con variaciones de nombre o documento faltante, podrían crearse participantes duplicados y contarse dos veces.</t>
  </si>
  <si>
    <t>Se detectan coincidencias parciales o dos registros para la misma persona durante una carga o búsqueda.</t>
  </si>
  <si>
    <t>Definir identificadores, reglas de detección de duplicados y revisión manual de coincidencias dudosas.</t>
  </si>
  <si>
    <t>Fusionar los registros conservando el historial y corregir los reportes afectados.</t>
  </si>
  <si>
    <t>RSK.34</t>
  </si>
  <si>
    <t>Dado que las reglas de asistencia, períodos o sedes pueden interpretarse incorrectamente, los indicadores podrían calcularse con una base equivocada.</t>
  </si>
  <si>
    <t>Un total del sistema no coincide con una muestra calculada manualmente por la ONG.</t>
  </si>
  <si>
    <t>Tadeo Jablonski / Julieta Salvado / Candela Fernandez</t>
  </si>
  <si>
    <t>Documentar reglas de cálculo y validar los reportes contra casos manuales conocidos antes del piloto.</t>
  </si>
  <si>
    <t>Deshabilitar el indicador incorrecto, corregir el cálculo y regenerar los reportes del período afectado.</t>
  </si>
  <si>
    <t>RSK.35</t>
  </si>
  <si>
    <t>Planificación</t>
  </si>
  <si>
    <t>Dado que la complejidad técnica puede subestimarse, las tareas de sincronización, seguridad o reportes podrían requerir más esfuerzo que el previsto.</t>
  </si>
  <si>
    <t>Una tarea consume más del 125% del esfuerzo estimado o bloquea actividades dependientes.</t>
  </si>
  <si>
    <t>Candelaria Arbe / Responsables técnicos</t>
  </si>
  <si>
    <t>Descomponer tareas, revisar estimaciones con quien ejecuta y controlar semanalmente esfuerzo y dependencias.</t>
  </si>
  <si>
    <t>Reasignar recursos, utilizar la reserva prevista y reducir alcance no esencial mediante control de cambios.</t>
  </si>
  <si>
    <t>RSK.36</t>
  </si>
  <si>
    <t>Comunicación</t>
  </si>
  <si>
    <t>Dado que decisiones y cambios pueden quedar solo en conversaciones, el equipo podría trabajar con versiones distintas de los acuerdos.</t>
  </si>
  <si>
    <t>Dos integrantes implementan criterios diferentes o no pueden localizar la última decisión aprobada.</t>
  </si>
  <si>
    <t>Centralizar minutas, decisiones, responsables y versiones de documentos, confirmando los cambios relevantes al equipo.</t>
  </si>
  <si>
    <t>Detener la tarea afectada, confirmar la decisión vigente y corregir el trabajo inconsistente.</t>
  </si>
  <si>
    <t>CANTAR PRESENTE | MATRIZ PROBABILIDAD–IMPACTO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</si>
</sst>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;-0.00;;"/>
  </numFmts>
  <fonts count="14">
    <font>
      <sz val="11.0"/>
      <color rgb="FF000000"/>
      <name val="Carlito"/>
      <scheme val="minor"/>
    </font>
    <font>
      <b/>
      <sz val="18.0"/>
      <color rgb="FFFFFFFF"/>
      <name val="Calibri"/>
    </font>
    <font/>
    <font>
      <b/>
      <sz val="12.0"/>
      <color rgb="FFFFFFFF"/>
      <name val="Calibri"/>
    </font>
    <font>
      <sz val="12.0"/>
      <color theme="1"/>
      <name val="Carlito"/>
      <scheme val="minor"/>
    </font>
    <font>
      <sz val="12.0"/>
      <color rgb="FF1F1F1F"/>
      <name val="Calibri"/>
    </font>
    <font>
      <b/>
      <sz val="12.0"/>
      <color rgb="FF9C0006"/>
      <name val="Calibri"/>
    </font>
    <font>
      <b/>
      <sz val="12.0"/>
      <color rgb="FF9C5700"/>
      <name val="Calibri"/>
    </font>
    <font>
      <b/>
      <sz val="12.0"/>
      <color rgb="FF7F6000"/>
      <name val="Calibri"/>
    </font>
    <font>
      <b/>
      <sz val="10.0"/>
      <color rgb="FFFFFFFF"/>
      <name val="Calibri"/>
    </font>
    <font>
      <sz val="10.0"/>
      <color rgb="FF1F1F1F"/>
      <name val="Calibri"/>
    </font>
    <font>
      <b/>
      <sz val="12.0"/>
      <color rgb="FF17365D"/>
      <name val="Calibri"/>
    </font>
    <font>
      <b/>
      <sz val="11.0"/>
      <color rgb="FF17365D"/>
      <name val="Calibri"/>
    </font>
    <font>
      <b/>
      <sz val="14.0"/>
      <color rgb="FF1F1F1F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5B9BD5"/>
        <bgColor rgb="FF5B9BD5"/>
      </patternFill>
    </fill>
    <fill>
      <patternFill patternType="solid">
        <fgColor rgb="FFF3F6F9"/>
        <bgColor rgb="FFF3F6F9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ED7D31"/>
        <bgColor rgb="FFED7D31"/>
      </patternFill>
    </fill>
    <fill>
      <patternFill patternType="solid">
        <fgColor rgb="FF70AD47"/>
        <bgColor rgb="FF70AD47"/>
      </patternFill>
    </fill>
    <fill>
      <patternFill patternType="solid">
        <fgColor rgb="FFD9EAF7"/>
        <bgColor rgb="FFD9EAF7"/>
      </patternFill>
    </fill>
    <fill>
      <patternFill patternType="solid">
        <fgColor rgb="FFFFD966"/>
        <bgColor rgb="FFFFD966"/>
      </patternFill>
    </fill>
    <fill>
      <patternFill patternType="solid">
        <fgColor rgb="FFF4B183"/>
        <bgColor rgb="FFF4B183"/>
      </patternFill>
    </fill>
    <fill>
      <patternFill patternType="solid">
        <fgColor rgb="FFF8696B"/>
        <bgColor rgb="FFF8696B"/>
      </patternFill>
    </fill>
    <fill>
      <patternFill patternType="solid">
        <fgColor rgb="FFA9D18E"/>
        <bgColor rgb="FFA9D18E"/>
      </patternFill>
    </fill>
    <fill>
      <patternFill patternType="solid">
        <fgColor rgb="FF63BE7B"/>
        <bgColor rgb="FF63BE7B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4C7DC"/>
      </left>
      <right style="thin">
        <color rgb="FFB4C7DC"/>
      </right>
      <top style="thin">
        <color rgb="FFB4C7DC"/>
      </top>
      <bottom style="thin">
        <color rgb="FFB4C7DC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5" fillId="4" fontId="5" numFmtId="0" xfId="0" applyAlignment="1" applyBorder="1" applyFill="1" applyFont="1">
      <alignment horizontal="center" shrinkToFit="0" vertical="center" wrapText="1"/>
    </xf>
    <xf borderId="5" fillId="4" fontId="5" numFmtId="164" xfId="0" applyAlignment="1" applyBorder="1" applyFill="1" applyFont="1" applyNumberFormat="1">
      <alignment horizontal="center" shrinkToFit="0" vertical="center" wrapText="1"/>
    </xf>
    <xf borderId="5" fillId="4" fontId="5" numFmtId="0" xfId="0" applyAlignment="1" applyBorder="1" applyFill="1" applyFont="1">
      <alignment shrinkToFit="0" vertical="top" wrapText="1"/>
    </xf>
    <xf borderId="5" fillId="4" fontId="5" numFmtId="9" xfId="0" applyAlignment="1" applyBorder="1" applyFill="1" applyFont="1" applyNumberFormat="1">
      <alignment horizontal="center" readingOrder="0" shrinkToFit="0" vertical="center" wrapText="1"/>
    </xf>
    <xf borderId="5" fillId="4" fontId="5" numFmtId="9" xfId="0" applyAlignment="1" applyBorder="1" applyFill="1" applyFont="1" applyNumberFormat="1">
      <alignment horizontal="center" shrinkToFit="0" vertical="center" wrapText="1"/>
    </xf>
    <xf borderId="5" fillId="5" fontId="6" numFmtId="2" xfId="0" applyAlignment="1" applyBorder="1" applyFill="1" applyFont="1" applyNumberForma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5" fillId="0" fontId="5" numFmtId="164" xfId="0" applyAlignment="1" applyBorder="1" applyFont="1" applyNumberFormat="1">
      <alignment horizontal="center" shrinkToFit="0" vertical="center" wrapText="1"/>
    </xf>
    <xf borderId="5" fillId="0" fontId="5" numFmtId="0" xfId="0" applyAlignment="1" applyBorder="1" applyFont="1">
      <alignment shrinkToFit="0" vertical="top" wrapText="1"/>
    </xf>
    <xf borderId="5" fillId="0" fontId="5" numFmtId="9" xfId="0" applyAlignment="1" applyBorder="1" applyFont="1" applyNumberFormat="1">
      <alignment horizontal="center" shrinkToFit="0" vertical="center" wrapText="1"/>
    </xf>
    <xf borderId="5" fillId="6" fontId="7" numFmtId="2" xfId="0" applyAlignment="1" applyBorder="1" applyFill="1" applyFont="1" applyNumberFormat="1">
      <alignment horizontal="center" shrinkToFit="0" vertical="center" wrapText="1"/>
    </xf>
    <xf borderId="5" fillId="7" fontId="8" numFmtId="2" xfId="0" applyAlignment="1" applyBorder="1" applyFill="1" applyFont="1" applyNumberFormat="1">
      <alignment horizontal="center" shrinkToFit="0" vertical="center" wrapText="1"/>
    </xf>
    <xf borderId="1" fillId="2" fontId="1" numFmtId="0" xfId="0" applyAlignment="1" applyBorder="1" applyFill="1" applyFont="1">
      <alignment vertical="center"/>
    </xf>
    <xf borderId="4" fillId="8" fontId="9" numFmtId="0" xfId="0" applyAlignment="1" applyBorder="1" applyFill="1" applyFont="1">
      <alignment horizontal="center"/>
    </xf>
    <xf borderId="4" fillId="9" fontId="9" numFmtId="0" xfId="0" applyAlignment="1" applyBorder="1" applyFill="1" applyFont="1">
      <alignment horizontal="center"/>
    </xf>
    <xf borderId="5" fillId="0" fontId="10" numFmtId="0" xfId="0" applyAlignment="1" applyBorder="1" applyFont="1">
      <alignment vertical="center"/>
    </xf>
    <xf borderId="4" fillId="3" fontId="9" numFmtId="0" xfId="0" applyAlignment="1" applyBorder="1" applyFill="1" applyFont="1">
      <alignment horizontal="center"/>
    </xf>
    <xf borderId="5" fillId="0" fontId="10" numFmtId="2" xfId="0" applyAlignment="1" applyBorder="1" applyFont="1" applyNumberFormat="1">
      <alignment vertical="center"/>
    </xf>
    <xf borderId="5" fillId="0" fontId="10" numFmtId="9" xfId="0" applyAlignment="1" applyBorder="1" applyFont="1" applyNumberFormat="1">
      <alignment vertical="center"/>
    </xf>
    <xf borderId="1" fillId="10" fontId="11" numFmtId="0" xfId="0" applyAlignment="1" applyBorder="1" applyFill="1" applyFont="1">
      <alignment horizontal="center" vertical="center"/>
    </xf>
    <xf borderId="5" fillId="10" fontId="12" numFmtId="0" xfId="0" applyAlignment="1" applyBorder="1" applyFill="1" applyFont="1">
      <alignment horizontal="center" vertical="center"/>
    </xf>
    <xf borderId="5" fillId="10" fontId="12" numFmtId="9" xfId="0" applyAlignment="1" applyBorder="1" applyFill="1" applyFont="1" applyNumberFormat="1">
      <alignment horizontal="center" vertical="center"/>
    </xf>
    <xf borderId="4" fillId="11" fontId="13" numFmtId="165" xfId="0" applyAlignment="1" applyBorder="1" applyFill="1" applyFont="1" applyNumberFormat="1">
      <alignment horizontal="center" vertical="center"/>
    </xf>
    <xf borderId="4" fillId="12" fontId="13" numFmtId="165" xfId="0" applyAlignment="1" applyBorder="1" applyFill="1" applyFont="1" applyNumberFormat="1">
      <alignment horizontal="center" vertical="center"/>
    </xf>
    <xf borderId="4" fillId="13" fontId="13" numFmtId="165" xfId="0" applyAlignment="1" applyBorder="1" applyFill="1" applyFont="1" applyNumberFormat="1">
      <alignment horizontal="center" vertical="center"/>
    </xf>
    <xf borderId="4" fillId="14" fontId="13" numFmtId="165" xfId="0" applyAlignment="1" applyBorder="1" applyFill="1" applyFont="1" applyNumberFormat="1">
      <alignment horizontal="center" vertical="center"/>
    </xf>
    <xf borderId="4" fillId="15" fontId="13" numFmtId="165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3.xml"/><Relationship Id="rId12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1.xml"/><Relationship Id="rId10" Type="http://schemas.openxmlformats.org/officeDocument/2006/relationships/customXml" Target="../customXml/item1.xml"/><Relationship Id="rId4" Type="http://schemas.microsoft.com/office/2017/10/relationships/person" Target="persons/person.xml"/><Relationship Id="rId9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Probabilidad promedio por grupo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PROBABILIDAD!$A$4:$A$10</c:f>
            </c:strRef>
          </c:cat>
          <c:val>
            <c:numRef>
              <c:f>PROBABILIDAD!$B$4:$B$10</c:f>
              <c:numCache/>
            </c:numRef>
          </c:val>
          <c:smooth val="1"/>
        </c:ser>
        <c:axId val="1099009929"/>
        <c:axId val="926628028"/>
      </c:radarChart>
      <c:catAx>
        <c:axId val="10990099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6628028"/>
      </c:catAx>
      <c:valAx>
        <c:axId val="9266280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9009929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Impacto promedio por grupo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IMPACTO!$A$4:$A$10</c:f>
            </c:strRef>
          </c:cat>
          <c:val>
            <c:numRef>
              <c:f>IMPACTO!$B$4:$B$10</c:f>
              <c:numCache/>
            </c:numRef>
          </c:val>
          <c:smooth val="1"/>
        </c:ser>
        <c:axId val="1781870948"/>
        <c:axId val="640177444"/>
      </c:radarChart>
      <c:catAx>
        <c:axId val="17818709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0177444"/>
      </c:catAx>
      <c:valAx>
        <c:axId val="6401774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1870948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Exposición promedio por grupo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'EXPOSICIÓN'!$A$4:$A$10</c:f>
            </c:strRef>
          </c:cat>
          <c:val>
            <c:numRef>
              <c:f>'EXPOSICIÓN'!$B$4:$B$10</c:f>
              <c:numCache/>
            </c:numRef>
          </c:val>
          <c:smooth val="1"/>
        </c:ser>
        <c:axId val="92699057"/>
        <c:axId val="1547584084"/>
      </c:radarChart>
      <c:catAx>
        <c:axId val="926990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7584084"/>
      </c:catAx>
      <c:valAx>
        <c:axId val="15475840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699057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0</xdr:rowOff>
    </xdr:from>
    <xdr:ext cx="6991350" cy="50006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0</xdr:rowOff>
    </xdr:from>
    <xdr:ext cx="6991350" cy="50006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0</xdr:rowOff>
    </xdr:from>
    <xdr:ext cx="6991350" cy="50006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9.0"/>
    <col customWidth="1" min="2" max="2" width="12.0"/>
    <col customWidth="1" min="3" max="3" width="24.0"/>
    <col customWidth="1" min="4" max="4" width="16.0"/>
    <col customWidth="1" min="5" max="5" width="42.0"/>
    <col customWidth="1" min="6" max="6" width="11.0"/>
    <col customWidth="1" min="7" max="7" width="12.0"/>
    <col customWidth="1" min="8" max="8" width="10.0"/>
    <col customWidth="1" min="9" max="9" width="11.0"/>
    <col customWidth="1" min="10" max="10" width="12.0"/>
    <col customWidth="1" min="11" max="11" width="33.0"/>
    <col customWidth="1" min="12" max="12" width="24.0"/>
    <col customWidth="1" min="13" max="14" width="38.0"/>
    <col customWidth="1" min="15" max="26" width="8.63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31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96.0" customHeight="1">
      <c r="A3" s="6" t="s">
        <v>15</v>
      </c>
      <c r="B3" s="7"/>
      <c r="C3" s="8" t="s">
        <v>16</v>
      </c>
      <c r="D3" s="8" t="s">
        <v>17</v>
      </c>
      <c r="E3" s="8" t="s">
        <v>18</v>
      </c>
      <c r="F3" s="6" t="s">
        <v>19</v>
      </c>
      <c r="G3" s="9">
        <v>0.75</v>
      </c>
      <c r="H3" s="10">
        <v>0.75</v>
      </c>
      <c r="I3" s="11">
        <f t="shared" ref="I3:I38" si="1">G3*H3</f>
        <v>0.5625</v>
      </c>
      <c r="J3" s="6" t="s">
        <v>20</v>
      </c>
      <c r="K3" s="8" t="s">
        <v>21</v>
      </c>
      <c r="L3" s="8" t="s">
        <v>22</v>
      </c>
      <c r="M3" s="8" t="s">
        <v>23</v>
      </c>
      <c r="N3" s="8" t="s">
        <v>24</v>
      </c>
    </row>
    <row r="4" ht="96.0" customHeight="1">
      <c r="A4" s="12" t="s">
        <v>25</v>
      </c>
      <c r="B4" s="13"/>
      <c r="C4" s="14" t="s">
        <v>26</v>
      </c>
      <c r="D4" s="14" t="s">
        <v>27</v>
      </c>
      <c r="E4" s="14" t="s">
        <v>28</v>
      </c>
      <c r="F4" s="12" t="s">
        <v>19</v>
      </c>
      <c r="G4" s="15">
        <v>0.5</v>
      </c>
      <c r="H4" s="15">
        <v>0.75</v>
      </c>
      <c r="I4" s="16">
        <f t="shared" si="1"/>
        <v>0.375</v>
      </c>
      <c r="J4" s="12" t="s">
        <v>29</v>
      </c>
      <c r="K4" s="14" t="s">
        <v>30</v>
      </c>
      <c r="L4" s="14" t="s">
        <v>31</v>
      </c>
      <c r="M4" s="14" t="s">
        <v>32</v>
      </c>
      <c r="N4" s="14" t="s">
        <v>33</v>
      </c>
    </row>
    <row r="5" ht="96.0" customHeight="1">
      <c r="A5" s="6" t="s">
        <v>34</v>
      </c>
      <c r="B5" s="7"/>
      <c r="C5" s="8" t="s">
        <v>26</v>
      </c>
      <c r="D5" s="8" t="s">
        <v>35</v>
      </c>
      <c r="E5" s="8" t="s">
        <v>36</v>
      </c>
      <c r="F5" s="6" t="s">
        <v>19</v>
      </c>
      <c r="G5" s="10">
        <v>0.75</v>
      </c>
      <c r="H5" s="10">
        <v>0.5</v>
      </c>
      <c r="I5" s="16">
        <f t="shared" si="1"/>
        <v>0.375</v>
      </c>
      <c r="J5" s="6" t="s">
        <v>20</v>
      </c>
      <c r="K5" s="8" t="s">
        <v>37</v>
      </c>
      <c r="L5" s="8" t="s">
        <v>38</v>
      </c>
      <c r="M5" s="8" t="s">
        <v>39</v>
      </c>
      <c r="N5" s="8" t="s">
        <v>40</v>
      </c>
    </row>
    <row r="6" ht="96.0" customHeight="1">
      <c r="A6" s="12" t="s">
        <v>41</v>
      </c>
      <c r="B6" s="13"/>
      <c r="C6" s="14" t="s">
        <v>42</v>
      </c>
      <c r="D6" s="14" t="s">
        <v>43</v>
      </c>
      <c r="E6" s="14" t="s">
        <v>44</v>
      </c>
      <c r="F6" s="12" t="s">
        <v>19</v>
      </c>
      <c r="G6" s="15">
        <v>0.5</v>
      </c>
      <c r="H6" s="15">
        <v>0.75</v>
      </c>
      <c r="I6" s="16">
        <f t="shared" si="1"/>
        <v>0.375</v>
      </c>
      <c r="J6" s="12" t="s">
        <v>20</v>
      </c>
      <c r="K6" s="14" t="s">
        <v>45</v>
      </c>
      <c r="L6" s="14" t="s">
        <v>46</v>
      </c>
      <c r="M6" s="14" t="s">
        <v>47</v>
      </c>
      <c r="N6" s="14" t="s">
        <v>48</v>
      </c>
    </row>
    <row r="7" ht="96.0" customHeight="1">
      <c r="A7" s="6" t="s">
        <v>49</v>
      </c>
      <c r="B7" s="7"/>
      <c r="C7" s="8" t="s">
        <v>50</v>
      </c>
      <c r="D7" s="8" t="s">
        <v>43</v>
      </c>
      <c r="E7" s="8" t="s">
        <v>51</v>
      </c>
      <c r="F7" s="6" t="s">
        <v>19</v>
      </c>
      <c r="G7" s="10">
        <v>0.5</v>
      </c>
      <c r="H7" s="10">
        <v>1.0</v>
      </c>
      <c r="I7" s="11">
        <f t="shared" si="1"/>
        <v>0.5</v>
      </c>
      <c r="J7" s="6" t="s">
        <v>20</v>
      </c>
      <c r="K7" s="8" t="s">
        <v>52</v>
      </c>
      <c r="L7" s="8" t="s">
        <v>53</v>
      </c>
      <c r="M7" s="8" t="s">
        <v>54</v>
      </c>
      <c r="N7" s="8" t="s">
        <v>55</v>
      </c>
    </row>
    <row r="8" ht="96.0" customHeight="1">
      <c r="A8" s="12" t="s">
        <v>56</v>
      </c>
      <c r="B8" s="13"/>
      <c r="C8" s="14" t="s">
        <v>50</v>
      </c>
      <c r="D8" s="14" t="s">
        <v>43</v>
      </c>
      <c r="E8" s="14" t="s">
        <v>57</v>
      </c>
      <c r="F8" s="12" t="s">
        <v>19</v>
      </c>
      <c r="G8" s="15">
        <v>0.25</v>
      </c>
      <c r="H8" s="15">
        <v>1.0</v>
      </c>
      <c r="I8" s="16">
        <f t="shared" si="1"/>
        <v>0.25</v>
      </c>
      <c r="J8" s="12" t="s">
        <v>20</v>
      </c>
      <c r="K8" s="14" t="s">
        <v>58</v>
      </c>
      <c r="L8" s="14" t="s">
        <v>59</v>
      </c>
      <c r="M8" s="14" t="s">
        <v>60</v>
      </c>
      <c r="N8" s="14" t="s">
        <v>61</v>
      </c>
    </row>
    <row r="9" ht="96.0" customHeight="1">
      <c r="A9" s="6" t="s">
        <v>62</v>
      </c>
      <c r="B9" s="7"/>
      <c r="C9" s="8" t="s">
        <v>63</v>
      </c>
      <c r="D9" s="8" t="s">
        <v>64</v>
      </c>
      <c r="E9" s="8" t="s">
        <v>65</v>
      </c>
      <c r="F9" s="6" t="s">
        <v>19</v>
      </c>
      <c r="G9" s="10">
        <v>0.5</v>
      </c>
      <c r="H9" s="10">
        <v>0.75</v>
      </c>
      <c r="I9" s="16">
        <f t="shared" si="1"/>
        <v>0.375</v>
      </c>
      <c r="J9" s="6" t="s">
        <v>66</v>
      </c>
      <c r="K9" s="8" t="s">
        <v>67</v>
      </c>
      <c r="L9" s="8" t="s">
        <v>68</v>
      </c>
      <c r="M9" s="8" t="s">
        <v>69</v>
      </c>
      <c r="N9" s="8" t="s">
        <v>70</v>
      </c>
    </row>
    <row r="10" ht="96.0" customHeight="1">
      <c r="A10" s="12" t="s">
        <v>71</v>
      </c>
      <c r="B10" s="13"/>
      <c r="C10" s="14" t="s">
        <v>16</v>
      </c>
      <c r="D10" s="14" t="s">
        <v>17</v>
      </c>
      <c r="E10" s="14" t="s">
        <v>72</v>
      </c>
      <c r="F10" s="12" t="s">
        <v>19</v>
      </c>
      <c r="G10" s="15">
        <v>0.5</v>
      </c>
      <c r="H10" s="15">
        <v>0.75</v>
      </c>
      <c r="I10" s="16">
        <f t="shared" si="1"/>
        <v>0.375</v>
      </c>
      <c r="J10" s="12" t="s">
        <v>20</v>
      </c>
      <c r="K10" s="14" t="s">
        <v>73</v>
      </c>
      <c r="L10" s="14" t="s">
        <v>74</v>
      </c>
      <c r="M10" s="14" t="s">
        <v>75</v>
      </c>
      <c r="N10" s="14" t="s">
        <v>76</v>
      </c>
    </row>
    <row r="11" ht="96.0" customHeight="1">
      <c r="A11" s="6" t="s">
        <v>77</v>
      </c>
      <c r="B11" s="7"/>
      <c r="C11" s="8" t="s">
        <v>42</v>
      </c>
      <c r="D11" s="8" t="s">
        <v>27</v>
      </c>
      <c r="E11" s="8" t="s">
        <v>78</v>
      </c>
      <c r="F11" s="6" t="s">
        <v>19</v>
      </c>
      <c r="G11" s="10">
        <v>0.5</v>
      </c>
      <c r="H11" s="10">
        <v>0.75</v>
      </c>
      <c r="I11" s="16">
        <f t="shared" si="1"/>
        <v>0.375</v>
      </c>
      <c r="J11" s="6" t="s">
        <v>20</v>
      </c>
      <c r="K11" s="8" t="s">
        <v>79</v>
      </c>
      <c r="L11" s="8" t="s">
        <v>31</v>
      </c>
      <c r="M11" s="8" t="s">
        <v>80</v>
      </c>
      <c r="N11" s="8" t="s">
        <v>81</v>
      </c>
    </row>
    <row r="12" ht="96.0" customHeight="1">
      <c r="A12" s="12" t="s">
        <v>82</v>
      </c>
      <c r="B12" s="13"/>
      <c r="C12" s="14" t="s">
        <v>83</v>
      </c>
      <c r="D12" s="14" t="s">
        <v>64</v>
      </c>
      <c r="E12" s="14" t="s">
        <v>84</v>
      </c>
      <c r="F12" s="12" t="s">
        <v>19</v>
      </c>
      <c r="G12" s="15">
        <v>0.25</v>
      </c>
      <c r="H12" s="15">
        <v>0.75</v>
      </c>
      <c r="I12" s="17">
        <f t="shared" si="1"/>
        <v>0.1875</v>
      </c>
      <c r="J12" s="12" t="s">
        <v>20</v>
      </c>
      <c r="K12" s="14" t="s">
        <v>85</v>
      </c>
      <c r="L12" s="14" t="s">
        <v>86</v>
      </c>
      <c r="M12" s="14" t="s">
        <v>87</v>
      </c>
      <c r="N12" s="14" t="s">
        <v>88</v>
      </c>
    </row>
    <row r="13" ht="96.0" customHeight="1">
      <c r="A13" s="6" t="s">
        <v>89</v>
      </c>
      <c r="B13" s="7"/>
      <c r="C13" s="8" t="s">
        <v>90</v>
      </c>
      <c r="D13" s="8" t="s">
        <v>43</v>
      </c>
      <c r="E13" s="8" t="s">
        <v>91</v>
      </c>
      <c r="F13" s="6" t="s">
        <v>19</v>
      </c>
      <c r="G13" s="10">
        <v>0.5</v>
      </c>
      <c r="H13" s="10">
        <v>0.75</v>
      </c>
      <c r="I13" s="16">
        <f t="shared" si="1"/>
        <v>0.375</v>
      </c>
      <c r="J13" s="6" t="s">
        <v>20</v>
      </c>
      <c r="K13" s="8" t="s">
        <v>92</v>
      </c>
      <c r="L13" s="8" t="s">
        <v>93</v>
      </c>
      <c r="M13" s="8" t="s">
        <v>94</v>
      </c>
      <c r="N13" s="8" t="s">
        <v>95</v>
      </c>
    </row>
    <row r="14" ht="96.0" customHeight="1">
      <c r="A14" s="12" t="s">
        <v>96</v>
      </c>
      <c r="B14" s="13"/>
      <c r="C14" s="14" t="s">
        <v>90</v>
      </c>
      <c r="D14" s="14" t="s">
        <v>27</v>
      </c>
      <c r="E14" s="14" t="s">
        <v>97</v>
      </c>
      <c r="F14" s="12" t="s">
        <v>19</v>
      </c>
      <c r="G14" s="15">
        <v>0.25</v>
      </c>
      <c r="H14" s="15">
        <v>0.75</v>
      </c>
      <c r="I14" s="17">
        <f t="shared" si="1"/>
        <v>0.1875</v>
      </c>
      <c r="J14" s="12" t="s">
        <v>20</v>
      </c>
      <c r="K14" s="14" t="s">
        <v>98</v>
      </c>
      <c r="L14" s="14" t="s">
        <v>99</v>
      </c>
      <c r="M14" s="14" t="s">
        <v>100</v>
      </c>
      <c r="N14" s="14" t="s">
        <v>101</v>
      </c>
    </row>
    <row r="15" ht="96.0" customHeight="1">
      <c r="A15" s="6" t="s">
        <v>102</v>
      </c>
      <c r="B15" s="7"/>
      <c r="C15" s="8" t="s">
        <v>83</v>
      </c>
      <c r="D15" s="8" t="s">
        <v>43</v>
      </c>
      <c r="E15" s="8" t="s">
        <v>103</v>
      </c>
      <c r="F15" s="6" t="s">
        <v>19</v>
      </c>
      <c r="G15" s="10">
        <v>0.75</v>
      </c>
      <c r="H15" s="10">
        <v>0.5</v>
      </c>
      <c r="I15" s="16">
        <f t="shared" si="1"/>
        <v>0.375</v>
      </c>
      <c r="J15" s="6" t="s">
        <v>20</v>
      </c>
      <c r="K15" s="8" t="s">
        <v>104</v>
      </c>
      <c r="L15" s="8" t="s">
        <v>68</v>
      </c>
      <c r="M15" s="8" t="s">
        <v>105</v>
      </c>
      <c r="N15" s="8" t="s">
        <v>106</v>
      </c>
    </row>
    <row r="16" ht="96.0" customHeight="1">
      <c r="A16" s="12" t="s">
        <v>107</v>
      </c>
      <c r="B16" s="13"/>
      <c r="C16" s="14" t="s">
        <v>50</v>
      </c>
      <c r="D16" s="14" t="s">
        <v>43</v>
      </c>
      <c r="E16" s="14" t="s">
        <v>108</v>
      </c>
      <c r="F16" s="12" t="s">
        <v>19</v>
      </c>
      <c r="G16" s="15">
        <v>0.25</v>
      </c>
      <c r="H16" s="15">
        <v>1.0</v>
      </c>
      <c r="I16" s="16">
        <f t="shared" si="1"/>
        <v>0.25</v>
      </c>
      <c r="J16" s="12" t="s">
        <v>20</v>
      </c>
      <c r="K16" s="14" t="s">
        <v>109</v>
      </c>
      <c r="L16" s="14" t="s">
        <v>110</v>
      </c>
      <c r="M16" s="14" t="s">
        <v>111</v>
      </c>
      <c r="N16" s="14" t="s">
        <v>112</v>
      </c>
    </row>
    <row r="17" ht="96.0" customHeight="1">
      <c r="A17" s="6" t="s">
        <v>113</v>
      </c>
      <c r="B17" s="7"/>
      <c r="C17" s="8" t="s">
        <v>26</v>
      </c>
      <c r="D17" s="8" t="s">
        <v>35</v>
      </c>
      <c r="E17" s="8" t="s">
        <v>114</v>
      </c>
      <c r="F17" s="6" t="s">
        <v>19</v>
      </c>
      <c r="G17" s="10">
        <v>0.5</v>
      </c>
      <c r="H17" s="10">
        <v>0.75</v>
      </c>
      <c r="I17" s="16">
        <f t="shared" si="1"/>
        <v>0.375</v>
      </c>
      <c r="J17" s="6" t="s">
        <v>20</v>
      </c>
      <c r="K17" s="8" t="s">
        <v>115</v>
      </c>
      <c r="L17" s="8" t="s">
        <v>38</v>
      </c>
      <c r="M17" s="8" t="s">
        <v>116</v>
      </c>
      <c r="N17" s="8" t="s">
        <v>117</v>
      </c>
    </row>
    <row r="18" ht="96.0" customHeight="1">
      <c r="A18" s="12" t="s">
        <v>118</v>
      </c>
      <c r="B18" s="13"/>
      <c r="C18" s="14" t="s">
        <v>50</v>
      </c>
      <c r="D18" s="14" t="s">
        <v>43</v>
      </c>
      <c r="E18" s="14" t="s">
        <v>119</v>
      </c>
      <c r="F18" s="12" t="s">
        <v>19</v>
      </c>
      <c r="G18" s="15">
        <v>0.25</v>
      </c>
      <c r="H18" s="15">
        <v>0.75</v>
      </c>
      <c r="I18" s="17">
        <f t="shared" si="1"/>
        <v>0.1875</v>
      </c>
      <c r="J18" s="12" t="s">
        <v>20</v>
      </c>
      <c r="K18" s="14" t="s">
        <v>120</v>
      </c>
      <c r="L18" s="14" t="s">
        <v>46</v>
      </c>
      <c r="M18" s="14" t="s">
        <v>121</v>
      </c>
      <c r="N18" s="14" t="s">
        <v>122</v>
      </c>
    </row>
    <row r="19" ht="96.0" customHeight="1">
      <c r="A19" s="6" t="s">
        <v>123</v>
      </c>
      <c r="B19" s="7"/>
      <c r="C19" s="8" t="s">
        <v>42</v>
      </c>
      <c r="D19" s="8" t="s">
        <v>124</v>
      </c>
      <c r="E19" s="8" t="s">
        <v>125</v>
      </c>
      <c r="F19" s="6" t="s">
        <v>19</v>
      </c>
      <c r="G19" s="10">
        <v>0.25</v>
      </c>
      <c r="H19" s="10">
        <v>1.0</v>
      </c>
      <c r="I19" s="16">
        <f t="shared" si="1"/>
        <v>0.25</v>
      </c>
      <c r="J19" s="6" t="s">
        <v>20</v>
      </c>
      <c r="K19" s="8" t="s">
        <v>126</v>
      </c>
      <c r="L19" s="8" t="s">
        <v>127</v>
      </c>
      <c r="M19" s="8" t="s">
        <v>128</v>
      </c>
      <c r="N19" s="8" t="s">
        <v>129</v>
      </c>
    </row>
    <row r="20" ht="96.0" customHeight="1">
      <c r="A20" s="12" t="s">
        <v>130</v>
      </c>
      <c r="B20" s="13"/>
      <c r="C20" s="14" t="s">
        <v>16</v>
      </c>
      <c r="D20" s="14" t="s">
        <v>131</v>
      </c>
      <c r="E20" s="14" t="s">
        <v>132</v>
      </c>
      <c r="F20" s="12" t="s">
        <v>19</v>
      </c>
      <c r="G20" s="15">
        <v>0.25</v>
      </c>
      <c r="H20" s="15">
        <v>1.0</v>
      </c>
      <c r="I20" s="16">
        <f t="shared" si="1"/>
        <v>0.25</v>
      </c>
      <c r="J20" s="12" t="s">
        <v>29</v>
      </c>
      <c r="K20" s="14" t="s">
        <v>133</v>
      </c>
      <c r="L20" s="14" t="s">
        <v>86</v>
      </c>
      <c r="M20" s="14" t="s">
        <v>134</v>
      </c>
      <c r="N20" s="14" t="s">
        <v>135</v>
      </c>
    </row>
    <row r="21" ht="96.0" customHeight="1">
      <c r="A21" s="6" t="s">
        <v>136</v>
      </c>
      <c r="B21" s="7"/>
      <c r="C21" s="8" t="s">
        <v>26</v>
      </c>
      <c r="D21" s="8" t="s">
        <v>137</v>
      </c>
      <c r="E21" s="8" t="s">
        <v>138</v>
      </c>
      <c r="F21" s="6" t="s">
        <v>19</v>
      </c>
      <c r="G21" s="10">
        <v>0.75</v>
      </c>
      <c r="H21" s="10">
        <v>0.75</v>
      </c>
      <c r="I21" s="11">
        <f t="shared" si="1"/>
        <v>0.5625</v>
      </c>
      <c r="J21" s="6" t="s">
        <v>20</v>
      </c>
      <c r="K21" s="8" t="s">
        <v>139</v>
      </c>
      <c r="L21" s="8" t="s">
        <v>140</v>
      </c>
      <c r="M21" s="8" t="s">
        <v>141</v>
      </c>
      <c r="N21" s="8" t="s">
        <v>142</v>
      </c>
    </row>
    <row r="22" ht="96.0" customHeight="1">
      <c r="A22" s="12" t="s">
        <v>143</v>
      </c>
      <c r="B22" s="13"/>
      <c r="C22" s="14" t="s">
        <v>16</v>
      </c>
      <c r="D22" s="14" t="s">
        <v>17</v>
      </c>
      <c r="E22" s="14" t="s">
        <v>146</v>
      </c>
      <c r="F22" s="12" t="s">
        <v>19</v>
      </c>
      <c r="G22" s="15">
        <v>0.5</v>
      </c>
      <c r="H22" s="15">
        <v>0.75</v>
      </c>
      <c r="I22" s="16">
        <f t="shared" si="1"/>
        <v>0.375</v>
      </c>
      <c r="J22" s="12" t="s">
        <v>20</v>
      </c>
      <c r="K22" s="14" t="s">
        <v>148</v>
      </c>
      <c r="L22" s="14" t="s">
        <v>22</v>
      </c>
      <c r="M22" s="14" t="s">
        <v>149</v>
      </c>
      <c r="N22" s="14" t="s">
        <v>150</v>
      </c>
    </row>
    <row r="23" ht="96.0" customHeight="1">
      <c r="A23" s="6" t="s">
        <v>151</v>
      </c>
      <c r="B23" s="7"/>
      <c r="C23" s="8" t="s">
        <v>90</v>
      </c>
      <c r="D23" s="8" t="s">
        <v>152</v>
      </c>
      <c r="E23" s="8" t="s">
        <v>153</v>
      </c>
      <c r="F23" s="6" t="s">
        <v>19</v>
      </c>
      <c r="G23" s="10">
        <v>0.5</v>
      </c>
      <c r="H23" s="10">
        <v>0.75</v>
      </c>
      <c r="I23" s="16">
        <f t="shared" si="1"/>
        <v>0.375</v>
      </c>
      <c r="J23" s="6" t="s">
        <v>29</v>
      </c>
      <c r="K23" s="8" t="s">
        <v>155</v>
      </c>
      <c r="L23" s="8" t="s">
        <v>156</v>
      </c>
      <c r="M23" s="8" t="s">
        <v>157</v>
      </c>
      <c r="N23" s="8" t="s">
        <v>158</v>
      </c>
    </row>
    <row r="24" ht="96.0" customHeight="1">
      <c r="A24" s="12" t="s">
        <v>159</v>
      </c>
      <c r="B24" s="13"/>
      <c r="C24" s="14" t="s">
        <v>16</v>
      </c>
      <c r="D24" s="14" t="s">
        <v>160</v>
      </c>
      <c r="E24" s="14" t="s">
        <v>161</v>
      </c>
      <c r="F24" s="12" t="s">
        <v>19</v>
      </c>
      <c r="G24" s="15">
        <v>0.5</v>
      </c>
      <c r="H24" s="15">
        <v>0.75</v>
      </c>
      <c r="I24" s="16">
        <f t="shared" si="1"/>
        <v>0.375</v>
      </c>
      <c r="J24" s="12" t="s">
        <v>20</v>
      </c>
      <c r="K24" s="14" t="s">
        <v>162</v>
      </c>
      <c r="L24" s="14" t="s">
        <v>74</v>
      </c>
      <c r="M24" s="14" t="s">
        <v>163</v>
      </c>
      <c r="N24" s="14" t="s">
        <v>164</v>
      </c>
    </row>
    <row r="25" ht="96.0" customHeight="1">
      <c r="A25" s="6" t="s">
        <v>165</v>
      </c>
      <c r="B25" s="7"/>
      <c r="C25" s="8" t="s">
        <v>50</v>
      </c>
      <c r="D25" s="8" t="s">
        <v>166</v>
      </c>
      <c r="E25" s="8" t="s">
        <v>167</v>
      </c>
      <c r="F25" s="6" t="s">
        <v>19</v>
      </c>
      <c r="G25" s="10">
        <v>0.5</v>
      </c>
      <c r="H25" s="10">
        <v>0.75</v>
      </c>
      <c r="I25" s="16">
        <f t="shared" si="1"/>
        <v>0.375</v>
      </c>
      <c r="J25" s="6" t="s">
        <v>20</v>
      </c>
      <c r="K25" s="8" t="s">
        <v>168</v>
      </c>
      <c r="L25" s="8" t="s">
        <v>169</v>
      </c>
      <c r="M25" s="8" t="s">
        <v>170</v>
      </c>
      <c r="N25" s="8" t="s">
        <v>171</v>
      </c>
    </row>
    <row r="26" ht="96.0" customHeight="1">
      <c r="A26" s="12" t="s">
        <v>172</v>
      </c>
      <c r="B26" s="13"/>
      <c r="C26" s="14" t="s">
        <v>50</v>
      </c>
      <c r="D26" s="14" t="s">
        <v>124</v>
      </c>
      <c r="E26" s="14" t="s">
        <v>173</v>
      </c>
      <c r="F26" s="12" t="s">
        <v>19</v>
      </c>
      <c r="G26" s="15">
        <v>0.5</v>
      </c>
      <c r="H26" s="15">
        <v>1.0</v>
      </c>
      <c r="I26" s="11">
        <f t="shared" si="1"/>
        <v>0.5</v>
      </c>
      <c r="J26" s="12" t="s">
        <v>20</v>
      </c>
      <c r="K26" s="14" t="s">
        <v>175</v>
      </c>
      <c r="L26" s="14" t="s">
        <v>177</v>
      </c>
      <c r="M26" s="14" t="s">
        <v>178</v>
      </c>
      <c r="N26" s="14" t="s">
        <v>179</v>
      </c>
    </row>
    <row r="27" ht="96.0" customHeight="1">
      <c r="A27" s="6" t="s">
        <v>180</v>
      </c>
      <c r="B27" s="7"/>
      <c r="C27" s="8" t="s">
        <v>50</v>
      </c>
      <c r="D27" s="8" t="s">
        <v>124</v>
      </c>
      <c r="E27" s="8" t="s">
        <v>182</v>
      </c>
      <c r="F27" s="6" t="s">
        <v>19</v>
      </c>
      <c r="G27" s="10">
        <v>0.25</v>
      </c>
      <c r="H27" s="10">
        <v>0.75</v>
      </c>
      <c r="I27" s="17">
        <f t="shared" si="1"/>
        <v>0.1875</v>
      </c>
      <c r="J27" s="6" t="s">
        <v>20</v>
      </c>
      <c r="K27" s="8" t="s">
        <v>184</v>
      </c>
      <c r="L27" s="8" t="s">
        <v>68</v>
      </c>
      <c r="M27" s="8" t="s">
        <v>185</v>
      </c>
      <c r="N27" s="8" t="s">
        <v>186</v>
      </c>
    </row>
    <row r="28" ht="96.0" customHeight="1">
      <c r="A28" s="12" t="s">
        <v>187</v>
      </c>
      <c r="B28" s="13"/>
      <c r="C28" s="14" t="s">
        <v>50</v>
      </c>
      <c r="D28" s="14" t="s">
        <v>43</v>
      </c>
      <c r="E28" s="14" t="s">
        <v>189</v>
      </c>
      <c r="F28" s="12" t="s">
        <v>19</v>
      </c>
      <c r="G28" s="15">
        <v>0.25</v>
      </c>
      <c r="H28" s="15">
        <v>1.0</v>
      </c>
      <c r="I28" s="16">
        <f t="shared" si="1"/>
        <v>0.25</v>
      </c>
      <c r="J28" s="12" t="s">
        <v>20</v>
      </c>
      <c r="K28" s="14" t="s">
        <v>190</v>
      </c>
      <c r="L28" s="14" t="s">
        <v>46</v>
      </c>
      <c r="M28" s="14" t="s">
        <v>191</v>
      </c>
      <c r="N28" s="14" t="s">
        <v>192</v>
      </c>
    </row>
    <row r="29" ht="96.0" customHeight="1">
      <c r="A29" s="6" t="s">
        <v>193</v>
      </c>
      <c r="B29" s="7"/>
      <c r="C29" s="8" t="s">
        <v>50</v>
      </c>
      <c r="D29" s="8" t="s">
        <v>194</v>
      </c>
      <c r="E29" s="8" t="s">
        <v>195</v>
      </c>
      <c r="F29" s="6" t="s">
        <v>19</v>
      </c>
      <c r="G29" s="10">
        <v>0.5</v>
      </c>
      <c r="H29" s="10">
        <v>0.75</v>
      </c>
      <c r="I29" s="16">
        <f t="shared" si="1"/>
        <v>0.375</v>
      </c>
      <c r="J29" s="6" t="s">
        <v>20</v>
      </c>
      <c r="K29" s="8" t="s">
        <v>196</v>
      </c>
      <c r="L29" s="8" t="s">
        <v>127</v>
      </c>
      <c r="M29" s="8" t="s">
        <v>197</v>
      </c>
      <c r="N29" s="8" t="s">
        <v>198</v>
      </c>
    </row>
    <row r="30" ht="96.0" customHeight="1">
      <c r="A30" s="12" t="s">
        <v>199</v>
      </c>
      <c r="B30" s="13"/>
      <c r="C30" s="14" t="s">
        <v>63</v>
      </c>
      <c r="D30" s="14" t="s">
        <v>43</v>
      </c>
      <c r="E30" s="14" t="s">
        <v>200</v>
      </c>
      <c r="F30" s="12" t="s">
        <v>19</v>
      </c>
      <c r="G30" s="15">
        <v>0.5</v>
      </c>
      <c r="H30" s="15">
        <v>0.75</v>
      </c>
      <c r="I30" s="16">
        <f t="shared" si="1"/>
        <v>0.375</v>
      </c>
      <c r="J30" s="12" t="s">
        <v>20</v>
      </c>
      <c r="K30" s="14" t="s">
        <v>201</v>
      </c>
      <c r="L30" s="14" t="s">
        <v>68</v>
      </c>
      <c r="M30" s="14" t="s">
        <v>202</v>
      </c>
      <c r="N30" s="14" t="s">
        <v>203</v>
      </c>
    </row>
    <row r="31" ht="96.0" customHeight="1">
      <c r="A31" s="6" t="s">
        <v>204</v>
      </c>
      <c r="B31" s="7"/>
      <c r="C31" s="8" t="s">
        <v>90</v>
      </c>
      <c r="D31" s="8" t="s">
        <v>205</v>
      </c>
      <c r="E31" s="8" t="s">
        <v>206</v>
      </c>
      <c r="F31" s="6" t="s">
        <v>19</v>
      </c>
      <c r="G31" s="10">
        <v>0.5</v>
      </c>
      <c r="H31" s="10">
        <v>0.5</v>
      </c>
      <c r="I31" s="16">
        <f t="shared" si="1"/>
        <v>0.25</v>
      </c>
      <c r="J31" s="6" t="s">
        <v>20</v>
      </c>
      <c r="K31" s="8" t="s">
        <v>207</v>
      </c>
      <c r="L31" s="8" t="s">
        <v>208</v>
      </c>
      <c r="M31" s="8" t="s">
        <v>209</v>
      </c>
      <c r="N31" s="8" t="s">
        <v>210</v>
      </c>
    </row>
    <row r="32" ht="96.0" customHeight="1">
      <c r="A32" s="12" t="s">
        <v>211</v>
      </c>
      <c r="B32" s="13"/>
      <c r="C32" s="14" t="s">
        <v>50</v>
      </c>
      <c r="D32" s="14" t="s">
        <v>43</v>
      </c>
      <c r="E32" s="14" t="s">
        <v>212</v>
      </c>
      <c r="F32" s="12" t="s">
        <v>19</v>
      </c>
      <c r="G32" s="15">
        <v>0.5</v>
      </c>
      <c r="H32" s="15">
        <v>1.0</v>
      </c>
      <c r="I32" s="11">
        <f t="shared" si="1"/>
        <v>0.5</v>
      </c>
      <c r="J32" s="12" t="s">
        <v>20</v>
      </c>
      <c r="K32" s="14" t="s">
        <v>213</v>
      </c>
      <c r="L32" s="14" t="s">
        <v>53</v>
      </c>
      <c r="M32" s="14" t="s">
        <v>214</v>
      </c>
      <c r="N32" s="14" t="s">
        <v>215</v>
      </c>
    </row>
    <row r="33" ht="96.0" customHeight="1">
      <c r="A33" s="6" t="s">
        <v>216</v>
      </c>
      <c r="B33" s="7"/>
      <c r="C33" s="8" t="s">
        <v>50</v>
      </c>
      <c r="D33" s="8" t="s">
        <v>194</v>
      </c>
      <c r="E33" s="8" t="s">
        <v>217</v>
      </c>
      <c r="F33" s="6" t="s">
        <v>19</v>
      </c>
      <c r="G33" s="10">
        <v>0.5</v>
      </c>
      <c r="H33" s="10">
        <v>0.75</v>
      </c>
      <c r="I33" s="16">
        <f t="shared" si="1"/>
        <v>0.375</v>
      </c>
      <c r="J33" s="6" t="s">
        <v>20</v>
      </c>
      <c r="K33" s="8" t="s">
        <v>218</v>
      </c>
      <c r="L33" s="8" t="s">
        <v>127</v>
      </c>
      <c r="M33" s="8" t="s">
        <v>219</v>
      </c>
      <c r="N33" s="8" t="s">
        <v>220</v>
      </c>
    </row>
    <row r="34" ht="96.0" customHeight="1">
      <c r="A34" s="12" t="s">
        <v>221</v>
      </c>
      <c r="B34" s="13"/>
      <c r="C34" s="14" t="s">
        <v>26</v>
      </c>
      <c r="D34" s="14" t="s">
        <v>166</v>
      </c>
      <c r="E34" s="14" t="s">
        <v>222</v>
      </c>
      <c r="F34" s="12" t="s">
        <v>19</v>
      </c>
      <c r="G34" s="15">
        <v>0.75</v>
      </c>
      <c r="H34" s="15">
        <v>0.75</v>
      </c>
      <c r="I34" s="11">
        <f t="shared" si="1"/>
        <v>0.5625</v>
      </c>
      <c r="J34" s="12" t="s">
        <v>20</v>
      </c>
      <c r="K34" s="14" t="s">
        <v>223</v>
      </c>
      <c r="L34" s="14" t="s">
        <v>224</v>
      </c>
      <c r="M34" s="14" t="s">
        <v>225</v>
      </c>
      <c r="N34" s="14" t="s">
        <v>226</v>
      </c>
    </row>
    <row r="35" ht="96.0" customHeight="1">
      <c r="A35" s="6" t="s">
        <v>227</v>
      </c>
      <c r="B35" s="7"/>
      <c r="C35" s="8" t="s">
        <v>50</v>
      </c>
      <c r="D35" s="8" t="s">
        <v>166</v>
      </c>
      <c r="E35" s="8" t="s">
        <v>228</v>
      </c>
      <c r="F35" s="6" t="s">
        <v>19</v>
      </c>
      <c r="G35" s="10">
        <v>0.75</v>
      </c>
      <c r="H35" s="10">
        <v>0.75</v>
      </c>
      <c r="I35" s="11">
        <f t="shared" si="1"/>
        <v>0.5625</v>
      </c>
      <c r="J35" s="6" t="s">
        <v>20</v>
      </c>
      <c r="K35" s="8" t="s">
        <v>229</v>
      </c>
      <c r="L35" s="8" t="s">
        <v>169</v>
      </c>
      <c r="M35" s="8" t="s">
        <v>230</v>
      </c>
      <c r="N35" s="8" t="s">
        <v>231</v>
      </c>
    </row>
    <row r="36" ht="96.0" customHeight="1">
      <c r="A36" s="12" t="s">
        <v>232</v>
      </c>
      <c r="B36" s="13"/>
      <c r="C36" s="14" t="s">
        <v>26</v>
      </c>
      <c r="D36" s="14" t="s">
        <v>35</v>
      </c>
      <c r="E36" s="14" t="s">
        <v>233</v>
      </c>
      <c r="F36" s="12" t="s">
        <v>19</v>
      </c>
      <c r="G36" s="15">
        <v>0.5</v>
      </c>
      <c r="H36" s="15">
        <v>1.0</v>
      </c>
      <c r="I36" s="11">
        <f t="shared" si="1"/>
        <v>0.5</v>
      </c>
      <c r="J36" s="12" t="s">
        <v>20</v>
      </c>
      <c r="K36" s="14" t="s">
        <v>234</v>
      </c>
      <c r="L36" s="14" t="s">
        <v>235</v>
      </c>
      <c r="M36" s="14" t="s">
        <v>236</v>
      </c>
      <c r="N36" s="14" t="s">
        <v>237</v>
      </c>
    </row>
    <row r="37" ht="96.0" customHeight="1">
      <c r="A37" s="6" t="s">
        <v>238</v>
      </c>
      <c r="B37" s="7"/>
      <c r="C37" s="8" t="s">
        <v>90</v>
      </c>
      <c r="D37" s="8" t="s">
        <v>239</v>
      </c>
      <c r="E37" s="8" t="s">
        <v>240</v>
      </c>
      <c r="F37" s="6" t="s">
        <v>19</v>
      </c>
      <c r="G37" s="10">
        <v>0.75</v>
      </c>
      <c r="H37" s="10">
        <v>0.75</v>
      </c>
      <c r="I37" s="11">
        <f t="shared" si="1"/>
        <v>0.5625</v>
      </c>
      <c r="J37" s="6" t="s">
        <v>20</v>
      </c>
      <c r="K37" s="8" t="s">
        <v>241</v>
      </c>
      <c r="L37" s="8" t="s">
        <v>242</v>
      </c>
      <c r="M37" s="8" t="s">
        <v>243</v>
      </c>
      <c r="N37" s="8" t="s">
        <v>244</v>
      </c>
    </row>
    <row r="38" ht="96.0" customHeight="1">
      <c r="A38" s="12" t="s">
        <v>245</v>
      </c>
      <c r="B38" s="13"/>
      <c r="C38" s="14" t="s">
        <v>90</v>
      </c>
      <c r="D38" s="14" t="s">
        <v>246</v>
      </c>
      <c r="E38" s="14" t="s">
        <v>247</v>
      </c>
      <c r="F38" s="12" t="s">
        <v>19</v>
      </c>
      <c r="G38" s="15">
        <v>0.5</v>
      </c>
      <c r="H38" s="15">
        <v>0.75</v>
      </c>
      <c r="I38" s="16">
        <f t="shared" si="1"/>
        <v>0.375</v>
      </c>
      <c r="J38" s="12" t="s">
        <v>20</v>
      </c>
      <c r="K38" s="14" t="s">
        <v>248</v>
      </c>
      <c r="L38" s="14" t="s">
        <v>31</v>
      </c>
      <c r="M38" s="14" t="s">
        <v>249</v>
      </c>
      <c r="N38" s="14" t="s">
        <v>250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0"/>
    <col customWidth="1" min="2" max="2" width="16.0"/>
    <col customWidth="1" min="3" max="26" width="8.63"/>
  </cols>
  <sheetData>
    <row r="1" ht="33.75" customHeight="1">
      <c r="A1" s="18" t="s">
        <v>145</v>
      </c>
      <c r="B1" s="2"/>
      <c r="C1" s="2"/>
      <c r="D1" s="2"/>
      <c r="E1" s="2"/>
      <c r="F1" s="2"/>
      <c r="G1" s="2"/>
      <c r="H1" s="3"/>
    </row>
    <row r="3">
      <c r="A3" s="22" t="s">
        <v>3</v>
      </c>
      <c r="B3" s="22" t="s">
        <v>7</v>
      </c>
    </row>
    <row r="4">
      <c r="A4" s="21" t="s">
        <v>154</v>
      </c>
      <c r="B4" s="24">
        <f>AVERAGEIFS(RIESGOS!$G$3:$G$38,RIESGOS!$C$3:$C$38,"Riesgos Cliente")</f>
        <v>0.5</v>
      </c>
    </row>
    <row r="5">
      <c r="A5" s="21" t="s">
        <v>137</v>
      </c>
      <c r="B5" s="24">
        <f>AVERAGEIFS(RIESGOS!$G$3:$G$38,RIESGOS!$C$3:$C$38,"Riesgos asociados a los Requisitos del Producto y/o Entregables del Proyecto")</f>
        <v>0.625</v>
      </c>
    </row>
    <row r="6">
      <c r="A6" s="21" t="s">
        <v>174</v>
      </c>
      <c r="B6" s="24">
        <f>AVERAGEIFS(RIESGOS!$G$3:$G$38,RIESGOS!$C$3:$C$38,"Riesgos asociados al trabajo específico a realizar")</f>
        <v>0.4166666667</v>
      </c>
    </row>
    <row r="7">
      <c r="A7" s="21" t="s">
        <v>176</v>
      </c>
      <c r="B7" s="24">
        <f>AVERAGEIFS(RIESGOS!$G$3:$G$38,RIESGOS!$C$3:$C$38,"Riesgos Proveedor / Subcontratista")</f>
        <v>0.5</v>
      </c>
    </row>
    <row r="8">
      <c r="A8" s="21" t="s">
        <v>181</v>
      </c>
      <c r="B8" s="24">
        <f>AVERAGEIFS(RIESGOS!$G$3:$G$38,RIESGOS!$C$3:$C$38,"Riesgos asociados a los recursos necesarios para la realización del proyecto")</f>
        <v>0.4166666667</v>
      </c>
    </row>
    <row r="9">
      <c r="A9" s="21" t="s">
        <v>183</v>
      </c>
      <c r="B9" s="24">
        <f>AVERAGEIFS(RIESGOS!$G$3:$G$38,RIESGOS!$C$3:$C$38,"Riesgos Asociados al Contexto del Proyecto")</f>
        <v>0.5</v>
      </c>
    </row>
    <row r="10">
      <c r="A10" s="21" t="s">
        <v>188</v>
      </c>
      <c r="B10" s="24">
        <f>AVERAGEIFS(RIESGOS!$G$3:$G$38,RIESGOS!$C$3:$C$38,"Riesgos asociados al Proceso y Métodos de Gestión del Proyecto")</f>
        <v>0.5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0"/>
    <col customWidth="1" min="2" max="2" width="16.0"/>
    <col customWidth="1" min="3" max="26" width="8.63"/>
  </cols>
  <sheetData>
    <row r="1" ht="33.75" customHeight="1">
      <c r="A1" s="18" t="s">
        <v>147</v>
      </c>
      <c r="B1" s="2"/>
      <c r="C1" s="2"/>
      <c r="D1" s="2"/>
      <c r="E1" s="2"/>
      <c r="F1" s="2"/>
      <c r="G1" s="2"/>
      <c r="H1" s="3"/>
    </row>
    <row r="3">
      <c r="A3" s="20" t="s">
        <v>3</v>
      </c>
      <c r="B3" s="20" t="s">
        <v>8</v>
      </c>
    </row>
    <row r="4">
      <c r="A4" s="21" t="s">
        <v>154</v>
      </c>
      <c r="B4" s="24">
        <f>AVERAGEIFS(RIESGOS!$H$3:$H$38,RIESGOS!$C$3:$C$38,"Riesgos Cliente")</f>
        <v>0.8</v>
      </c>
    </row>
    <row r="5">
      <c r="A5" s="21" t="s">
        <v>137</v>
      </c>
      <c r="B5" s="24">
        <f>AVERAGEIFS(RIESGOS!$H$3:$H$38,RIESGOS!$C$3:$C$38,"Riesgos asociados a los Requisitos del Producto y/o Entregables del Proyecto")</f>
        <v>0.75</v>
      </c>
    </row>
    <row r="6">
      <c r="A6" s="21" t="s">
        <v>174</v>
      </c>
      <c r="B6" s="24">
        <f>AVERAGEIFS(RIESGOS!$H$3:$H$38,RIESGOS!$C$3:$C$38,"Riesgos asociados al trabajo específico a realizar")</f>
        <v>0.875</v>
      </c>
    </row>
    <row r="7">
      <c r="A7" s="21" t="s">
        <v>176</v>
      </c>
      <c r="B7" s="24">
        <f>AVERAGEIFS(RIESGOS!$H$3:$H$38,RIESGOS!$C$3:$C$38,"Riesgos Proveedor / Subcontratista")</f>
        <v>0.75</v>
      </c>
    </row>
    <row r="8">
      <c r="A8" s="21" t="s">
        <v>181</v>
      </c>
      <c r="B8" s="24">
        <f>AVERAGEIFS(RIESGOS!$H$3:$H$38,RIESGOS!$C$3:$C$38,"Riesgos asociados a los recursos necesarios para la realización del proyecto")</f>
        <v>0.8333333333</v>
      </c>
    </row>
    <row r="9">
      <c r="A9" s="21" t="s">
        <v>183</v>
      </c>
      <c r="B9" s="24">
        <f>AVERAGEIFS(RIESGOS!$H$3:$H$38,RIESGOS!$C$3:$C$38,"Riesgos Asociados al Contexto del Proyecto")</f>
        <v>0.625</v>
      </c>
    </row>
    <row r="10">
      <c r="A10" s="21" t="s">
        <v>188</v>
      </c>
      <c r="B10" s="24">
        <f>AVERAGEIFS(RIESGOS!$H$3:$H$38,RIESGOS!$C$3:$C$38,"Riesgos asociados al Proceso y Métodos de Gestión del Proyecto")</f>
        <v>0.7083333333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0"/>
    <col customWidth="1" min="2" max="2" width="16.0"/>
    <col customWidth="1" min="3" max="26" width="8.63"/>
  </cols>
  <sheetData>
    <row r="1" ht="33.75" customHeight="1">
      <c r="A1" s="18" t="s">
        <v>144</v>
      </c>
      <c r="B1" s="2"/>
      <c r="C1" s="2"/>
      <c r="D1" s="2"/>
      <c r="E1" s="2"/>
      <c r="F1" s="2"/>
      <c r="G1" s="2"/>
      <c r="H1" s="3"/>
    </row>
    <row r="3">
      <c r="A3" s="19" t="s">
        <v>3</v>
      </c>
      <c r="B3" s="19" t="s">
        <v>9</v>
      </c>
    </row>
    <row r="4">
      <c r="A4" s="21" t="s">
        <v>154</v>
      </c>
      <c r="B4" s="23">
        <f>AVERAGEIFS(RIESGOS!$I$3:$I$38,RIESGOS!$C$3:$C$38,"Riesgos Cliente")</f>
        <v>0.3875</v>
      </c>
    </row>
    <row r="5">
      <c r="A5" s="21" t="s">
        <v>137</v>
      </c>
      <c r="B5" s="23">
        <f>AVERAGEIFS(RIESGOS!$I$3:$I$38,RIESGOS!$C$3:$C$38,"Riesgos asociados a los Requisitos del Producto y/o Entregables del Proyecto")</f>
        <v>0.4583333333</v>
      </c>
    </row>
    <row r="6">
      <c r="A6" s="21" t="s">
        <v>174</v>
      </c>
      <c r="B6" s="23">
        <f>AVERAGEIFS(RIESGOS!$I$3:$I$38,RIESGOS!$C$3:$C$38,"Riesgos asociados al trabajo específico a realizar")</f>
        <v>0.359375</v>
      </c>
    </row>
    <row r="7">
      <c r="A7" s="21" t="s">
        <v>176</v>
      </c>
      <c r="B7" s="23">
        <f>AVERAGEIFS(RIESGOS!$I$3:$I$38,RIESGOS!$C$3:$C$38,"Riesgos Proveedor / Subcontratista")</f>
        <v>0.375</v>
      </c>
    </row>
    <row r="8">
      <c r="A8" s="21" t="s">
        <v>181</v>
      </c>
      <c r="B8" s="23">
        <f>AVERAGEIFS(RIESGOS!$I$3:$I$38,RIESGOS!$C$3:$C$38,"Riesgos asociados a los recursos necesarios para la realización del proyecto")</f>
        <v>0.3333333333</v>
      </c>
    </row>
    <row r="9">
      <c r="A9" s="21" t="s">
        <v>183</v>
      </c>
      <c r="B9" s="23">
        <f>AVERAGEIFS(RIESGOS!$I$3:$I$38,RIESGOS!$C$3:$C$38,"Riesgos Asociados al Contexto del Proyecto")</f>
        <v>0.28125</v>
      </c>
    </row>
    <row r="10">
      <c r="A10" s="21" t="s">
        <v>188</v>
      </c>
      <c r="B10" s="23">
        <f>AVERAGEIFS(RIESGOS!$I$3:$I$38,RIESGOS!$C$3:$C$38,"Riesgos asociados al Proceso y Métodos de Gestión del Proyecto")</f>
        <v>0.3541666667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5" width="16.0"/>
    <col customWidth="1" min="6" max="26" width="8.63"/>
  </cols>
  <sheetData>
    <row r="1" ht="33.75" customHeight="1">
      <c r="A1" s="18" t="s">
        <v>251</v>
      </c>
      <c r="B1" s="2"/>
      <c r="C1" s="2"/>
      <c r="D1" s="2"/>
      <c r="E1" s="2"/>
      <c r="F1" s="3"/>
    </row>
    <row r="3">
      <c r="B3" s="25" t="s">
        <v>8</v>
      </c>
      <c r="C3" s="2"/>
      <c r="D3" s="2"/>
      <c r="E3" s="3"/>
    </row>
    <row r="4">
      <c r="A4" s="26" t="s">
        <v>7</v>
      </c>
      <c r="B4" s="27">
        <v>0.25</v>
      </c>
      <c r="C4" s="27">
        <v>0.5</v>
      </c>
      <c r="D4" s="27">
        <v>0.75</v>
      </c>
      <c r="E4" s="27">
        <v>1.0</v>
      </c>
    </row>
    <row r="5" ht="51.75" customHeight="1">
      <c r="A5" s="27">
        <v>1.0</v>
      </c>
      <c r="B5" s="28">
        <f>SUMIFS(RIESGOS!$I$3:$I$38,RIESGOS!$G$3:$G$38,$A5,RIESGOS!$H$3:$H$38,B$4)</f>
        <v>0</v>
      </c>
      <c r="C5" s="29">
        <f>SUMIFS(RIESGOS!$I$3:$I$38,RIESGOS!$G$3:$G$38,$A5,RIESGOS!$H$3:$H$38,C$4)</f>
        <v>0</v>
      </c>
      <c r="D5" s="30">
        <f>SUMIFS(RIESGOS!$I$3:$I$38,RIESGOS!$G$3:$G$38,$A5,RIESGOS!$H$3:$H$38,D$4)</f>
        <v>0</v>
      </c>
      <c r="E5" s="30">
        <f>SUMIFS(RIESGOS!$I$3:$I$38,RIESGOS!$G$3:$G$38,$A5,RIESGOS!$H$3:$H$38,E$4)</f>
        <v>0</v>
      </c>
    </row>
    <row r="6" ht="51.75" customHeight="1">
      <c r="A6" s="27">
        <v>0.75</v>
      </c>
      <c r="B6" s="28">
        <f>SUMIFS(RIESGOS!$I$3:$I$38,RIESGOS!$G$3:$G$38,$A6,RIESGOS!$H$3:$H$38,B$4)</f>
        <v>0</v>
      </c>
      <c r="C6" s="29">
        <f>SUMIFS(RIESGOS!$I$3:$I$38,RIESGOS!$G$3:$G$38,$A6,RIESGOS!$H$3:$H$38,C$4)</f>
        <v>0.75</v>
      </c>
      <c r="D6" s="30">
        <f>SUMIFS(RIESGOS!$I$3:$I$38,RIESGOS!$G$3:$G$38,$A6,RIESGOS!$H$3:$H$38,D$4)</f>
        <v>2.8125</v>
      </c>
      <c r="E6" s="30">
        <f>SUMIFS(RIESGOS!$I$3:$I$38,RIESGOS!$G$3:$G$38,$A6,RIESGOS!$H$3:$H$38,E$4)</f>
        <v>0</v>
      </c>
    </row>
    <row r="7" ht="51.75" customHeight="1">
      <c r="A7" s="27">
        <v>0.5</v>
      </c>
      <c r="B7" s="31">
        <f>SUMIFS(RIESGOS!$I$3:$I$38,RIESGOS!$G$3:$G$38,$A7,RIESGOS!$H$3:$H$38,B$4)</f>
        <v>0</v>
      </c>
      <c r="C7" s="28">
        <f>SUMIFS(RIESGOS!$I$3:$I$38,RIESGOS!$G$3:$G$38,$A7,RIESGOS!$H$3:$H$38,C$4)</f>
        <v>0.25</v>
      </c>
      <c r="D7" s="29">
        <f>SUMIFS(RIESGOS!$I$3:$I$38,RIESGOS!$G$3:$G$38,$A7,RIESGOS!$H$3:$H$38,D$4)</f>
        <v>5.625</v>
      </c>
      <c r="E7" s="29">
        <f>SUMIFS(RIESGOS!$I$3:$I$38,RIESGOS!$G$3:$G$38,$A7,RIESGOS!$H$3:$H$38,E$4)</f>
        <v>2</v>
      </c>
    </row>
    <row r="8" ht="51.75" customHeight="1">
      <c r="A8" s="27">
        <v>0.25</v>
      </c>
      <c r="B8" s="32">
        <f>SUMIFS(RIESGOS!$I$3:$I$38,RIESGOS!$G$3:$G$38,$A8,RIESGOS!$H$3:$H$38,B$4)</f>
        <v>0</v>
      </c>
      <c r="C8" s="31">
        <f>SUMIFS(RIESGOS!$I$3:$I$38,RIESGOS!$G$3:$G$38,$A8,RIESGOS!$H$3:$H$38,C$4)</f>
        <v>0</v>
      </c>
      <c r="D8" s="28">
        <f>SUMIFS(RIESGOS!$I$3:$I$38,RIESGOS!$G$3:$G$38,$A8,RIESGOS!$H$3:$H$38,D$4)</f>
        <v>0.75</v>
      </c>
      <c r="E8" s="28">
        <f>SUMIFS(RIESGOS!$I$3:$I$38,RIESGOS!$G$3:$G$38,$A8,RIESGOS!$H$3:$H$38,E$4)</f>
        <v>1.25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F1"/>
    <mergeCell ref="B3:E3"/>
  </mergeCells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44B2A616DCB747AC8546171A99E980" ma:contentTypeVersion="8" ma:contentTypeDescription="Crear nuevo documento." ma:contentTypeScope="" ma:versionID="0713511642eb888ec61abf7c73975964">
  <xsd:schema xmlns:xsd="http://www.w3.org/2001/XMLSchema" xmlns:xs="http://www.w3.org/2001/XMLSchema" xmlns:p="http://schemas.microsoft.com/office/2006/metadata/properties" xmlns:ns2="a36331dd-337c-4a56-8b23-956e4f05ea78" targetNamespace="http://schemas.microsoft.com/office/2006/metadata/properties" ma:root="true" ma:fieldsID="d7d49b84c7f1dc34308612191ac9eba3" ns2:_="">
    <xsd:import namespace="a36331dd-337c-4a56-8b23-956e4f05ea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331dd-337c-4a56-8b23-956e4f05ea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80f935f-056e-43d0-a9c3-6f0a0280ba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6331dd-337c-4a56-8b23-956e4f05ea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2C7A7E-475D-4652-A222-72B0470799F3}"/>
</file>

<file path=customXml/itemProps2.xml><?xml version="1.0" encoding="utf-8"?>
<ds:datastoreItem xmlns:ds="http://schemas.openxmlformats.org/officeDocument/2006/customXml" ds:itemID="{FBB8281D-C53A-436B-B0E4-C70901833EF4}"/>
</file>

<file path=customXml/itemProps3.xml><?xml version="1.0" encoding="utf-8"?>
<ds:datastoreItem xmlns:ds="http://schemas.openxmlformats.org/officeDocument/2006/customXml" ds:itemID="{A4E66444-3E8A-400D-BD99-3EB6CBF5009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0x0101008744B2A616DCB747AC8546171A99E980</vt:lpwstr>
  </property>
</Properties>
</file>